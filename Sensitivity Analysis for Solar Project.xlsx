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rsonal\IISc\UPES\StudyMaterials\Project Management &amp; Contract Administration\Project Management PGP RE-20250523T065741Z-1-001\Project Management PGP RE\"/>
    </mc:Choice>
  </mc:AlternateContent>
  <xr:revisionPtr revIDLastSave="0" documentId="13_ncr:1_{0D67A210-C452-4159-A6B1-BC877C388B2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nancial Analysis" sheetId="1" r:id="rId1"/>
    <sheet name="NPV Calculation" sheetId="2" r:id="rId2"/>
    <sheet name="Sensitivity 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xQqc88GD3cKCB0c+41K9tOo3xdZQLxzZODjO3Fpp+s="/>
    </ext>
  </extLst>
</workbook>
</file>

<file path=xl/calcChain.xml><?xml version="1.0" encoding="utf-8"?>
<calcChain xmlns="http://schemas.openxmlformats.org/spreadsheetml/2006/main">
  <c r="D21" i="3" l="1"/>
  <c r="B21" i="3"/>
  <c r="D20" i="3"/>
  <c r="B20" i="3"/>
  <c r="D19" i="3"/>
  <c r="D18" i="3"/>
  <c r="B18" i="3"/>
  <c r="D17" i="3"/>
  <c r="B17" i="3"/>
  <c r="D14" i="3"/>
  <c r="B14" i="3"/>
  <c r="D13" i="3"/>
  <c r="B13" i="3"/>
  <c r="D12" i="3"/>
  <c r="D11" i="3"/>
  <c r="B11" i="3"/>
  <c r="D10" i="3"/>
  <c r="B10" i="3"/>
  <c r="D6" i="3"/>
  <c r="B6" i="3"/>
  <c r="D5" i="3"/>
  <c r="B5" i="3"/>
  <c r="D3" i="3"/>
  <c r="B3" i="3"/>
  <c r="D2" i="3"/>
  <c r="B2" i="3"/>
  <c r="C22" i="1"/>
  <c r="C24" i="1" s="1"/>
  <c r="B3" i="2" s="1"/>
  <c r="C3" i="2" s="1"/>
  <c r="B22" i="1"/>
  <c r="D21" i="1"/>
  <c r="E21" i="1" s="1"/>
  <c r="F21" i="1" s="1"/>
  <c r="G21" i="1" s="1"/>
  <c r="D20" i="1"/>
  <c r="D22" i="1" s="1"/>
  <c r="F9" i="1"/>
  <c r="B7" i="1"/>
  <c r="B24" i="1" s="1"/>
  <c r="B2" i="2" s="1"/>
  <c r="C2" i="2" s="1"/>
  <c r="D2" i="1"/>
  <c r="D3" i="1" l="1"/>
  <c r="D24" i="1"/>
  <c r="B4" i="2" s="1"/>
  <c r="C4" i="2" s="1"/>
  <c r="E20" i="1"/>
  <c r="F20" i="1" l="1"/>
  <c r="E22" i="1"/>
  <c r="E24" i="1" l="1"/>
  <c r="B5" i="2" s="1"/>
  <c r="C5" i="2" s="1"/>
  <c r="D4" i="1"/>
  <c r="F22" i="1"/>
  <c r="G20" i="1"/>
  <c r="G22" i="1" s="1"/>
  <c r="F24" i="1" l="1"/>
  <c r="B6" i="2" s="1"/>
  <c r="C6" i="2" s="1"/>
  <c r="D5" i="1"/>
  <c r="B11" i="2"/>
  <c r="D6" i="1"/>
  <c r="G24" i="1"/>
  <c r="B7" i="2" s="1"/>
  <c r="C7" i="2" s="1"/>
</calcChain>
</file>

<file path=xl/sharedStrings.xml><?xml version="1.0" encoding="utf-8"?>
<sst xmlns="http://schemas.openxmlformats.org/spreadsheetml/2006/main" count="48" uniqueCount="41">
  <si>
    <t>Initial Investment</t>
  </si>
  <si>
    <t>Cost Estimate (INR)</t>
  </si>
  <si>
    <t>Revenue Projections</t>
  </si>
  <si>
    <t>Expected Revenue (INR)</t>
  </si>
  <si>
    <t>Operational Expenses</t>
  </si>
  <si>
    <t>Cost Estimate per Year (INR)</t>
  </si>
  <si>
    <t>Land Costs</t>
  </si>
  <si>
    <t>Total Revenue (Year 1)</t>
  </si>
  <si>
    <t>Labor</t>
  </si>
  <si>
    <t>Construction Costs</t>
  </si>
  <si>
    <t>Total Revenue (Year 2)</t>
  </si>
  <si>
    <t>Maintenance</t>
  </si>
  <si>
    <t>Equipment Costs</t>
  </si>
  <si>
    <t>Total Revenue (Year 3)</t>
  </si>
  <si>
    <t>Other Expenses</t>
  </si>
  <si>
    <t>Permits &amp; Licenses</t>
  </si>
  <si>
    <t>Total Revenue (Year 4)</t>
  </si>
  <si>
    <t>Miscellaneous Costs</t>
  </si>
  <si>
    <t>Total Revenue (Year 5)</t>
  </si>
  <si>
    <t>Total Initial Investment</t>
  </si>
  <si>
    <t>Total Operating Expenses</t>
  </si>
  <si>
    <t>Year 0</t>
  </si>
  <si>
    <t>Year 1</t>
  </si>
  <si>
    <t>Year 2</t>
  </si>
  <si>
    <t>Year 3</t>
  </si>
  <si>
    <t>Year 4</t>
  </si>
  <si>
    <t>Year 5</t>
  </si>
  <si>
    <t>Annual Energy Production(KWh)</t>
  </si>
  <si>
    <t>Tarrif</t>
  </si>
  <si>
    <t>Net Cash Flow</t>
  </si>
  <si>
    <t>Year</t>
  </si>
  <si>
    <t>Net Cash Flow (INR)</t>
  </si>
  <si>
    <t>Present Value of Cash Flow</t>
  </si>
  <si>
    <t>Discount Factor</t>
  </si>
  <si>
    <t>NPV</t>
  </si>
  <si>
    <t>Discount Factor Change</t>
  </si>
  <si>
    <t>Values for the Parameter</t>
  </si>
  <si>
    <t>NPV % Change</t>
  </si>
  <si>
    <t>Land Prices Change</t>
  </si>
  <si>
    <t>Value for the Parameter</t>
  </si>
  <si>
    <t>Equipment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</si>
</sst>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rgb="FFC6D9F0"/>
        <bgColor rgb="FFC6D9F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1" fillId="5" borderId="1" xfId="0" applyFont="1" applyFill="1" applyBorder="1" applyAlignment="1">
      <alignment horizontal="center" vertical="top"/>
    </xf>
    <xf numFmtId="0" fontId="2" fillId="7" borderId="2" xfId="0" applyFont="1" applyFill="1" applyBorder="1"/>
    <xf numFmtId="9" fontId="2" fillId="5" borderId="2" xfId="0" applyNumberFormat="1" applyFont="1" applyFill="1" applyBorder="1"/>
    <xf numFmtId="2" fontId="2" fillId="4" borderId="2" xfId="0" applyNumberFormat="1" applyFont="1" applyFill="1" applyBorder="1"/>
    <xf numFmtId="2" fontId="2" fillId="0" borderId="0" xfId="0" applyNumberFormat="1" applyFont="1"/>
    <xf numFmtId="2" fontId="2" fillId="7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4F81BD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'Sensitivity Analysis'!$A$2:$A$6</c:f>
              <c:numCache>
                <c:formatCode>0.00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0</c:v>
                </c:pt>
                <c:pt idx="3">
                  <c:v>-10</c:v>
                </c:pt>
                <c:pt idx="4">
                  <c:v>-20</c:v>
                </c:pt>
              </c:numCache>
            </c:numRef>
          </c:cat>
          <c:val>
            <c:numRef>
              <c:f>'Sensitivity Analysis'!$B$2:$B$6</c:f>
              <c:numCache>
                <c:formatCode>0.00</c:formatCode>
                <c:ptCount val="5"/>
                <c:pt idx="0">
                  <c:v>14.4</c:v>
                </c:pt>
                <c:pt idx="1">
                  <c:v>13.2</c:v>
                </c:pt>
                <c:pt idx="2">
                  <c:v>12</c:v>
                </c:pt>
                <c:pt idx="3">
                  <c:v>10.8</c:v>
                </c:pt>
                <c:pt idx="4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0-4232-904E-F0B11F88D883}"/>
            </c:ext>
          </c:extLst>
        </c:ser>
        <c:ser>
          <c:idx val="1"/>
          <c:order val="1"/>
          <c:spPr>
            <a:ln w="19050" cmpd="sng">
              <a:solidFill>
                <a:schemeClr val="accent2"/>
              </a:solidFill>
            </a:ln>
          </c:spPr>
          <c:marker>
            <c:symbol val="circle"/>
            <c:size val="1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C0504D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'Sensitivity Analysis'!$A$2:$A$6</c:f>
              <c:numCache>
                <c:formatCode>0.00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0</c:v>
                </c:pt>
                <c:pt idx="3">
                  <c:v>-10</c:v>
                </c:pt>
                <c:pt idx="4">
                  <c:v>-20</c:v>
                </c:pt>
              </c:numCache>
            </c:numRef>
          </c:cat>
          <c:val>
            <c:numRef>
              <c:f>'Sensitivity Analysis'!$C$2:$C$6</c:f>
              <c:numCache>
                <c:formatCode>0.00</c:formatCode>
                <c:ptCount val="5"/>
                <c:pt idx="0">
                  <c:v>-40117160.983736634</c:v>
                </c:pt>
                <c:pt idx="1">
                  <c:v>-38711269.338462494</c:v>
                </c:pt>
                <c:pt idx="2">
                  <c:v>-37236810.958747983</c:v>
                </c:pt>
                <c:pt idx="3">
                  <c:v>-35689358.496333629</c:v>
                </c:pt>
                <c:pt idx="4">
                  <c:v>-34064134.496138081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0-4232-904E-F0B11F88D883}"/>
            </c:ext>
          </c:extLst>
        </c:ser>
        <c:ser>
          <c:idx val="2"/>
          <c:order val="2"/>
          <c:tx>
            <c:v>Discount Factor</c:v>
          </c:tx>
          <c:spPr>
            <a:ln w="19050" cmpd="sng">
              <a:solidFill>
                <a:schemeClr val="accent3"/>
              </a:solidFill>
            </a:ln>
          </c:spPr>
          <c:marker>
            <c:symbol val="circle"/>
            <c:size val="1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9BBB59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'Sensitivity Analysis'!$A$2:$A$6</c:f>
              <c:numCache>
                <c:formatCode>0.00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0</c:v>
                </c:pt>
                <c:pt idx="3">
                  <c:v>-10</c:v>
                </c:pt>
                <c:pt idx="4">
                  <c:v>-20</c:v>
                </c:pt>
              </c:numCache>
            </c:numRef>
          </c:cat>
          <c:val>
            <c:numRef>
              <c:f>'Sensitivity Analysis'!$D$2:$D$6</c:f>
              <c:numCache>
                <c:formatCode>0.00</c:formatCode>
                <c:ptCount val="5"/>
                <c:pt idx="0">
                  <c:v>7.7352220848868782</c:v>
                </c:pt>
                <c:pt idx="1">
                  <c:v>3.9596795261225752</c:v>
                </c:pt>
                <c:pt idx="2">
                  <c:v>0</c:v>
                </c:pt>
                <c:pt idx="3">
                  <c:v>-4.1557062019319186</c:v>
                </c:pt>
                <c:pt idx="4">
                  <c:v>-8.520269005110789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80-4232-904E-F0B11F88D883}"/>
            </c:ext>
          </c:extLst>
        </c:ser>
        <c:ser>
          <c:idx val="3"/>
          <c:order val="3"/>
          <c:tx>
            <c:v>Land Price</c:v>
          </c:tx>
          <c:spPr>
            <a:ln w="19050" cmpd="sng">
              <a:solidFill>
                <a:schemeClr val="accent4"/>
              </a:solidFill>
            </a:ln>
          </c:spPr>
          <c:marker>
            <c:symbol val="circle"/>
            <c:size val="1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8064A2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'Sensitivity Analysis'!$A$2:$A$6</c:f>
              <c:numCache>
                <c:formatCode>0.00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0</c:v>
                </c:pt>
                <c:pt idx="3">
                  <c:v>-10</c:v>
                </c:pt>
                <c:pt idx="4">
                  <c:v>-20</c:v>
                </c:pt>
              </c:numCache>
            </c:numRef>
          </c:cat>
          <c:val>
            <c:numRef>
              <c:f>'Sensitivity Analysis'!$D$10:$D$14</c:f>
              <c:numCache>
                <c:formatCode>0.00</c:formatCode>
                <c:ptCount val="5"/>
                <c:pt idx="0">
                  <c:v>26.855146137724546</c:v>
                </c:pt>
                <c:pt idx="1">
                  <c:v>13.427573068862273</c:v>
                </c:pt>
                <c:pt idx="2">
                  <c:v>0</c:v>
                </c:pt>
                <c:pt idx="3">
                  <c:v>-13.427573068862273</c:v>
                </c:pt>
                <c:pt idx="4">
                  <c:v>-26.855146137724589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80-4232-904E-F0B11F88D883}"/>
            </c:ext>
          </c:extLst>
        </c:ser>
        <c:ser>
          <c:idx val="4"/>
          <c:order val="4"/>
          <c:tx>
            <c:v>Equipment Cost</c:v>
          </c:tx>
          <c:spPr>
            <a:ln w="19050" cmpd="sng">
              <a:solidFill>
                <a:schemeClr val="accent5"/>
              </a:solidFill>
            </a:ln>
          </c:spPr>
          <c:marker>
            <c:symbol val="circle"/>
            <c:size val="1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4BACC6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'Sensitivity Analysis'!$A$2:$A$6</c:f>
              <c:numCache>
                <c:formatCode>0.00</c:formatCode>
                <c:ptCount val="5"/>
                <c:pt idx="0">
                  <c:v>20</c:v>
                </c:pt>
                <c:pt idx="1">
                  <c:v>10</c:v>
                </c:pt>
                <c:pt idx="2">
                  <c:v>0</c:v>
                </c:pt>
                <c:pt idx="3">
                  <c:v>-10</c:v>
                </c:pt>
                <c:pt idx="4">
                  <c:v>-20</c:v>
                </c:pt>
              </c:numCache>
            </c:numRef>
          </c:cat>
          <c:val>
            <c:numRef>
              <c:f>'Sensitivity Analysis'!$D$17:$D$21</c:f>
              <c:numCache>
                <c:formatCode>0.00</c:formatCode>
                <c:ptCount val="5"/>
                <c:pt idx="0">
                  <c:v>10.742058455089818</c:v>
                </c:pt>
                <c:pt idx="1">
                  <c:v>5.3710292275449092</c:v>
                </c:pt>
                <c:pt idx="2">
                  <c:v>0</c:v>
                </c:pt>
                <c:pt idx="3">
                  <c:v>-5.3710292275449092</c:v>
                </c:pt>
                <c:pt idx="4">
                  <c:v>-10.742058455089818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80-4232-904E-F0B11F88D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951895"/>
        <c:axId val="1652538855"/>
      </c:lineChart>
      <c:catAx>
        <c:axId val="1721951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chemeClr val="dk1"/>
                </a:solidFill>
                <a:latin typeface="+mn-lt"/>
              </a:defRPr>
            </a:pPr>
            <a:endParaRPr lang="en-US"/>
          </a:p>
        </c:txPr>
        <c:crossAx val="1652538855"/>
        <c:crosses val="autoZero"/>
        <c:auto val="1"/>
        <c:lblAlgn val="ctr"/>
        <c:lblOffset val="100"/>
        <c:noMultiLvlLbl val="1"/>
      </c:catAx>
      <c:valAx>
        <c:axId val="1652538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19518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1</xdr:row>
      <xdr:rowOff>133350</xdr:rowOff>
    </xdr:from>
    <xdr:ext cx="5819775" cy="3181350"/>
    <xdr:graphicFrame macro="">
      <xdr:nvGraphicFramePr>
        <xdr:cNvPr id="2065161063" name="Chart 1" title="Chart">
          <a:extLst>
            <a:ext uri="{FF2B5EF4-FFF2-40B4-BE49-F238E27FC236}">
              <a16:creationId xmlns:a16="http://schemas.microsoft.com/office/drawing/2014/main" id="{00000000-0008-0000-0200-000067DB1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10" workbookViewId="0">
      <selection activeCell="D28" sqref="D28"/>
    </sheetView>
  </sheetViews>
  <sheetFormatPr defaultColWidth="14.453125" defaultRowHeight="15" customHeight="1" x14ac:dyDescent="0.35"/>
  <cols>
    <col min="1" max="1" width="31.08984375" customWidth="1"/>
    <col min="2" max="2" width="20.54296875" customWidth="1"/>
    <col min="3" max="3" width="25.81640625" customWidth="1"/>
    <col min="4" max="4" width="23.81640625" customWidth="1"/>
    <col min="5" max="5" width="26.453125" customWidth="1"/>
    <col min="6" max="6" width="32.81640625" customWidth="1"/>
    <col min="7" max="7" width="21.08984375" customWidth="1"/>
    <col min="8" max="26" width="8.72656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2" t="s">
        <v>6</v>
      </c>
      <c r="B2" s="3">
        <v>50000000</v>
      </c>
      <c r="C2" s="2" t="s">
        <v>7</v>
      </c>
      <c r="D2" s="3">
        <f>C22</f>
        <v>15000000</v>
      </c>
      <c r="E2" s="2" t="s">
        <v>8</v>
      </c>
      <c r="F2" s="3">
        <v>500000</v>
      </c>
    </row>
    <row r="3" spans="1:6" ht="14.25" customHeight="1" x14ac:dyDescent="0.35">
      <c r="A3" s="2" t="s">
        <v>9</v>
      </c>
      <c r="B3" s="3">
        <v>15000000</v>
      </c>
      <c r="C3" s="2" t="s">
        <v>10</v>
      </c>
      <c r="D3" s="3">
        <f>D22</f>
        <v>15146999.999999998</v>
      </c>
      <c r="E3" s="2" t="s">
        <v>11</v>
      </c>
      <c r="F3" s="3">
        <v>400000</v>
      </c>
    </row>
    <row r="4" spans="1:6" ht="14.25" customHeight="1" x14ac:dyDescent="0.35">
      <c r="A4" s="2" t="s">
        <v>12</v>
      </c>
      <c r="B4" s="3">
        <v>16000000</v>
      </c>
      <c r="C4" s="2" t="s">
        <v>13</v>
      </c>
      <c r="D4" s="3">
        <f>E22</f>
        <v>15372690.300000001</v>
      </c>
      <c r="E4" s="2" t="s">
        <v>14</v>
      </c>
      <c r="F4" s="3">
        <v>500000</v>
      </c>
    </row>
    <row r="5" spans="1:6" ht="14.25" customHeight="1" x14ac:dyDescent="0.35">
      <c r="A5" s="2" t="s">
        <v>15</v>
      </c>
      <c r="B5" s="3">
        <v>1000000</v>
      </c>
      <c r="C5" s="2" t="s">
        <v>16</v>
      </c>
      <c r="D5" s="3">
        <f>F22</f>
        <v>15601743.385470001</v>
      </c>
      <c r="F5" s="3"/>
    </row>
    <row r="6" spans="1:6" ht="14.25" customHeight="1" x14ac:dyDescent="0.35">
      <c r="A6" s="2" t="s">
        <v>17</v>
      </c>
      <c r="B6" s="3">
        <v>1500000</v>
      </c>
      <c r="C6" s="2" t="s">
        <v>18</v>
      </c>
      <c r="D6" s="3">
        <f>G22</f>
        <v>15834209.361913506</v>
      </c>
      <c r="E6" s="2"/>
      <c r="F6" s="3"/>
    </row>
    <row r="7" spans="1:6" ht="14.25" customHeight="1" x14ac:dyDescent="0.35">
      <c r="A7" s="4" t="s">
        <v>19</v>
      </c>
      <c r="B7" s="4">
        <f>SUM(B2:B6)</f>
        <v>83500000</v>
      </c>
      <c r="E7" s="2"/>
      <c r="F7" s="3"/>
    </row>
    <row r="8" spans="1:6" ht="14.25" customHeight="1" x14ac:dyDescent="0.35">
      <c r="F8" s="3"/>
    </row>
    <row r="9" spans="1:6" ht="14.25" customHeight="1" x14ac:dyDescent="0.35">
      <c r="E9" s="4" t="s">
        <v>20</v>
      </c>
      <c r="F9" s="4">
        <f>SUM(F2:F8)</f>
        <v>1400000</v>
      </c>
    </row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spans="1:7" ht="14.25" customHeight="1" x14ac:dyDescent="0.35"/>
    <row r="18" spans="1:7" ht="14.25" customHeight="1" x14ac:dyDescent="0.35"/>
    <row r="19" spans="1:7" ht="14.25" customHeight="1" x14ac:dyDescent="0.35">
      <c r="A19" s="5" t="s">
        <v>2</v>
      </c>
      <c r="B19" s="5" t="s">
        <v>21</v>
      </c>
      <c r="C19" s="5" t="s">
        <v>22</v>
      </c>
      <c r="D19" s="5" t="s">
        <v>23</v>
      </c>
      <c r="E19" s="5" t="s">
        <v>24</v>
      </c>
      <c r="F19" s="5" t="s">
        <v>25</v>
      </c>
      <c r="G19" s="5" t="s">
        <v>26</v>
      </c>
    </row>
    <row r="20" spans="1:7" ht="14.25" customHeight="1" x14ac:dyDescent="0.35">
      <c r="A20" s="5" t="s">
        <v>27</v>
      </c>
      <c r="B20" s="3">
        <v>0</v>
      </c>
      <c r="C20" s="3">
        <v>1500000</v>
      </c>
      <c r="D20" s="3">
        <f>C20-(C20*1/100)</f>
        <v>1485000</v>
      </c>
      <c r="E20" s="3">
        <f t="shared" ref="E20:G20" si="0">D20-(0.5/100*D20)</f>
        <v>1477575</v>
      </c>
      <c r="F20" s="3">
        <f t="shared" si="0"/>
        <v>1470187.125</v>
      </c>
      <c r="G20" s="3">
        <f t="shared" si="0"/>
        <v>1462836.1893750001</v>
      </c>
    </row>
    <row r="21" spans="1:7" ht="14.25" customHeight="1" x14ac:dyDescent="0.35">
      <c r="A21" s="5" t="s">
        <v>28</v>
      </c>
      <c r="B21" s="3">
        <v>0</v>
      </c>
      <c r="C21" s="3">
        <v>10</v>
      </c>
      <c r="D21" s="3">
        <f t="shared" ref="D21:G21" si="1">C21+2/100*C21</f>
        <v>10.199999999999999</v>
      </c>
      <c r="E21" s="3">
        <f t="shared" si="1"/>
        <v>10.404</v>
      </c>
      <c r="F21" s="3">
        <f t="shared" si="1"/>
        <v>10.612080000000001</v>
      </c>
      <c r="G21" s="3">
        <f t="shared" si="1"/>
        <v>10.824321600000001</v>
      </c>
    </row>
    <row r="22" spans="1:7" ht="14.25" customHeight="1" x14ac:dyDescent="0.35">
      <c r="A22" s="4"/>
      <c r="B22" s="4">
        <f t="shared" ref="B22:G22" si="2">B20*B21</f>
        <v>0</v>
      </c>
      <c r="C22" s="4">
        <f t="shared" si="2"/>
        <v>15000000</v>
      </c>
      <c r="D22" s="4">
        <f t="shared" si="2"/>
        <v>15146999.999999998</v>
      </c>
      <c r="E22" s="4">
        <f t="shared" si="2"/>
        <v>15372690.300000001</v>
      </c>
      <c r="F22" s="4">
        <f t="shared" si="2"/>
        <v>15601743.385470001</v>
      </c>
      <c r="G22" s="4">
        <f t="shared" si="2"/>
        <v>15834209.361913506</v>
      </c>
    </row>
    <row r="23" spans="1:7" ht="14.25" customHeight="1" x14ac:dyDescent="0.35"/>
    <row r="24" spans="1:7" ht="14.25" customHeight="1" x14ac:dyDescent="0.35">
      <c r="A24" s="6" t="s">
        <v>29</v>
      </c>
      <c r="B24" s="6">
        <f>-B7</f>
        <v>-83500000</v>
      </c>
      <c r="C24" s="6">
        <f t="shared" ref="C24:G24" si="3">C22-$F$9</f>
        <v>13600000</v>
      </c>
      <c r="D24" s="6">
        <f t="shared" si="3"/>
        <v>13746999.999999998</v>
      </c>
      <c r="E24" s="6">
        <f t="shared" si="3"/>
        <v>13972690.300000001</v>
      </c>
      <c r="F24" s="6">
        <f t="shared" si="3"/>
        <v>14201743.385470001</v>
      </c>
      <c r="G24" s="6">
        <f t="shared" si="3"/>
        <v>14434209.361913506</v>
      </c>
    </row>
    <row r="25" spans="1:7" ht="14.25" customHeight="1" x14ac:dyDescent="0.35"/>
    <row r="26" spans="1:7" ht="14.25" customHeight="1" x14ac:dyDescent="0.35"/>
    <row r="27" spans="1:7" ht="14.25" customHeight="1" x14ac:dyDescent="0.35"/>
    <row r="28" spans="1:7" ht="14.25" customHeight="1" x14ac:dyDescent="0.35"/>
    <row r="29" spans="1:7" ht="14.25" customHeight="1" x14ac:dyDescent="0.35"/>
    <row r="30" spans="1:7" ht="14.25" customHeight="1" x14ac:dyDescent="0.35"/>
    <row r="31" spans="1:7" ht="14.25" customHeight="1" x14ac:dyDescent="0.35"/>
    <row r="32" spans="1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C17" sqref="C17"/>
    </sheetView>
  </sheetViews>
  <sheetFormatPr defaultColWidth="14.453125" defaultRowHeight="15" customHeight="1" x14ac:dyDescent="0.35"/>
  <cols>
    <col min="1" max="1" width="17.08984375" customWidth="1"/>
    <col min="2" max="2" width="22.54296875" customWidth="1"/>
    <col min="3" max="3" width="26.08984375" customWidth="1"/>
    <col min="4" max="26" width="8.7265625" customWidth="1"/>
  </cols>
  <sheetData>
    <row r="1" spans="1:3" ht="14.25" customHeight="1" x14ac:dyDescent="0.35">
      <c r="A1" s="7" t="s">
        <v>30</v>
      </c>
      <c r="B1" s="7" t="s">
        <v>31</v>
      </c>
      <c r="C1" s="7" t="s">
        <v>32</v>
      </c>
    </row>
    <row r="2" spans="1:3" ht="14.25" customHeight="1" x14ac:dyDescent="0.35">
      <c r="A2" s="8">
        <v>0</v>
      </c>
      <c r="B2" s="8">
        <f>'Financial Analysis'!B24</f>
        <v>-83500000</v>
      </c>
      <c r="C2" s="8">
        <f t="shared" ref="C2:C7" si="0">(B2/((1+$B$9)^A2))</f>
        <v>-83500000</v>
      </c>
    </row>
    <row r="3" spans="1:3" ht="14.25" customHeight="1" x14ac:dyDescent="0.35">
      <c r="A3" s="8">
        <v>1</v>
      </c>
      <c r="B3" s="8">
        <f>'Financial Analysis'!C24</f>
        <v>13600000</v>
      </c>
      <c r="C3" s="8">
        <f t="shared" si="0"/>
        <v>12142857.142857142</v>
      </c>
    </row>
    <row r="4" spans="1:3" ht="14.25" customHeight="1" x14ac:dyDescent="0.35">
      <c r="A4" s="8">
        <v>2</v>
      </c>
      <c r="B4" s="8">
        <f>'Financial Analysis'!D24</f>
        <v>13746999.999999998</v>
      </c>
      <c r="C4" s="8">
        <f t="shared" si="0"/>
        <v>10959024.234693874</v>
      </c>
    </row>
    <row r="5" spans="1:3" ht="14.25" customHeight="1" x14ac:dyDescent="0.35">
      <c r="A5" s="8">
        <v>3</v>
      </c>
      <c r="B5" s="8">
        <f>'Financial Analysis'!E24</f>
        <v>13972690.300000001</v>
      </c>
      <c r="C5" s="8">
        <f t="shared" si="0"/>
        <v>9945484.9643540438</v>
      </c>
    </row>
    <row r="6" spans="1:3" ht="14.25" customHeight="1" x14ac:dyDescent="0.35">
      <c r="A6" s="8">
        <v>4</v>
      </c>
      <c r="B6" s="8">
        <f>'Financial Analysis'!F24</f>
        <v>14201743.385470001</v>
      </c>
      <c r="C6" s="8">
        <f t="shared" si="0"/>
        <v>9025464.6663324162</v>
      </c>
    </row>
    <row r="7" spans="1:3" ht="14.25" customHeight="1" x14ac:dyDescent="0.35">
      <c r="A7" s="8">
        <v>5</v>
      </c>
      <c r="B7" s="8">
        <f>'Financial Analysis'!G24</f>
        <v>14434209.361913506</v>
      </c>
      <c r="C7" s="8">
        <f t="shared" si="0"/>
        <v>8190358.0330145489</v>
      </c>
    </row>
    <row r="8" spans="1:3" ht="14.25" customHeight="1" x14ac:dyDescent="0.35"/>
    <row r="9" spans="1:3" ht="14.25" customHeight="1" x14ac:dyDescent="0.35">
      <c r="A9" s="5" t="s">
        <v>33</v>
      </c>
      <c r="B9" s="9">
        <v>0.12</v>
      </c>
    </row>
    <row r="10" spans="1:3" ht="14.25" customHeight="1" x14ac:dyDescent="0.35"/>
    <row r="11" spans="1:3" ht="14.25" customHeight="1" x14ac:dyDescent="0.35">
      <c r="A11" s="6" t="s">
        <v>34</v>
      </c>
      <c r="B11" s="6">
        <f>SUM(C2:C7)</f>
        <v>-33236810.958747983</v>
      </c>
    </row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tabSelected="1" workbookViewId="0">
      <selection activeCell="E14" sqref="E14"/>
    </sheetView>
  </sheetViews>
  <sheetFormatPr defaultColWidth="14.453125" defaultRowHeight="15" customHeight="1" x14ac:dyDescent="0.35"/>
  <cols>
    <col min="1" max="1" width="21.54296875" customWidth="1"/>
    <col min="2" max="2" width="21.81640625" customWidth="1"/>
    <col min="3" max="3" width="15.81640625" customWidth="1"/>
    <col min="4" max="4" width="15.54296875" customWidth="1"/>
    <col min="5" max="26" width="8.7265625" customWidth="1"/>
  </cols>
  <sheetData>
    <row r="1" spans="1:4" ht="14.25" customHeight="1" x14ac:dyDescent="0.35">
      <c r="A1" s="4" t="s">
        <v>35</v>
      </c>
      <c r="B1" s="4" t="s">
        <v>36</v>
      </c>
      <c r="C1" s="4" t="s">
        <v>34</v>
      </c>
      <c r="D1" s="4" t="s">
        <v>37</v>
      </c>
    </row>
    <row r="2" spans="1:4" ht="14.25" customHeight="1" x14ac:dyDescent="0.35">
      <c r="A2" s="10">
        <v>20</v>
      </c>
      <c r="B2" s="10">
        <f t="shared" ref="B2:B3" si="0">$B$4+(A2*$B$4/100)</f>
        <v>14.4</v>
      </c>
      <c r="C2" s="11">
        <v>-40117160.983736634</v>
      </c>
      <c r="D2" s="12">
        <f t="shared" ref="D2:D3" si="1">((C2-$C$4)/$C$4)*100</f>
        <v>7.7352220848868782</v>
      </c>
    </row>
    <row r="3" spans="1:4" ht="14.25" customHeight="1" x14ac:dyDescent="0.35">
      <c r="A3" s="10">
        <v>10</v>
      </c>
      <c r="B3" s="10">
        <f t="shared" si="0"/>
        <v>13.2</v>
      </c>
      <c r="C3" s="11">
        <v>-38711269.338462494</v>
      </c>
      <c r="D3" s="12">
        <f t="shared" si="1"/>
        <v>3.9596795261225752</v>
      </c>
    </row>
    <row r="4" spans="1:4" ht="14.25" customHeight="1" x14ac:dyDescent="0.35">
      <c r="A4" s="12">
        <v>0</v>
      </c>
      <c r="B4" s="12">
        <v>12</v>
      </c>
      <c r="C4" s="12">
        <v>-37236810.958747983</v>
      </c>
      <c r="D4" s="12">
        <v>0</v>
      </c>
    </row>
    <row r="5" spans="1:4" ht="14.25" customHeight="1" x14ac:dyDescent="0.35">
      <c r="A5" s="10">
        <v>-10</v>
      </c>
      <c r="B5" s="10">
        <f t="shared" ref="B5:B6" si="2">$B$4+(A5*$B$4/100)</f>
        <v>10.8</v>
      </c>
      <c r="C5" s="11">
        <v>-35689358.496333629</v>
      </c>
      <c r="D5" s="12">
        <f t="shared" ref="D5:D6" si="3">((C5-$C$4)/$C$4)*100</f>
        <v>-4.1557062019319186</v>
      </c>
    </row>
    <row r="6" spans="1:4" ht="14.25" customHeight="1" x14ac:dyDescent="0.35">
      <c r="A6" s="10">
        <v>-20</v>
      </c>
      <c r="B6" s="10">
        <f t="shared" si="2"/>
        <v>9.6</v>
      </c>
      <c r="C6" s="11">
        <v>-34064134.496138081</v>
      </c>
      <c r="D6" s="12">
        <f t="shared" si="3"/>
        <v>-8.520269005110789</v>
      </c>
    </row>
    <row r="7" spans="1:4" ht="14.25" customHeight="1" x14ac:dyDescent="0.35"/>
    <row r="8" spans="1:4" ht="14.25" customHeight="1" x14ac:dyDescent="0.35"/>
    <row r="9" spans="1:4" ht="14.25" customHeight="1" x14ac:dyDescent="0.35">
      <c r="A9" s="4" t="s">
        <v>38</v>
      </c>
      <c r="B9" s="4" t="s">
        <v>39</v>
      </c>
      <c r="C9" s="4" t="s">
        <v>34</v>
      </c>
      <c r="D9" s="4" t="s">
        <v>37</v>
      </c>
    </row>
    <row r="10" spans="1:4" ht="14.25" customHeight="1" x14ac:dyDescent="0.35">
      <c r="A10" s="10">
        <v>20</v>
      </c>
      <c r="B10" s="10">
        <f t="shared" ref="B10:B11" si="4">$B$12+(A10*$B$12/100)</f>
        <v>60000000</v>
      </c>
      <c r="C10" s="11">
        <v>-47236810.958747983</v>
      </c>
      <c r="D10" s="12">
        <f t="shared" ref="D10:D14" si="5">((C10-$C$12)/$C$12)*100</f>
        <v>26.855146137724546</v>
      </c>
    </row>
    <row r="11" spans="1:4" ht="14.25" customHeight="1" x14ac:dyDescent="0.35">
      <c r="A11" s="10">
        <v>10</v>
      </c>
      <c r="B11" s="10">
        <f t="shared" si="4"/>
        <v>55000000</v>
      </c>
      <c r="C11" s="11">
        <v>-42236810.958747983</v>
      </c>
      <c r="D11" s="12">
        <f t="shared" si="5"/>
        <v>13.427573068862273</v>
      </c>
    </row>
    <row r="12" spans="1:4" ht="14.25" customHeight="1" x14ac:dyDescent="0.35">
      <c r="A12" s="12">
        <v>0</v>
      </c>
      <c r="B12" s="12">
        <v>50000000</v>
      </c>
      <c r="C12" s="12">
        <v>-37236810.958747983</v>
      </c>
      <c r="D12" s="12">
        <f t="shared" si="5"/>
        <v>0</v>
      </c>
    </row>
    <row r="13" spans="1:4" ht="14.25" customHeight="1" x14ac:dyDescent="0.35">
      <c r="A13" s="10">
        <v>-10</v>
      </c>
      <c r="B13" s="10">
        <f t="shared" ref="B13:B14" si="6">$B$12+(A13*$B$12/100)</f>
        <v>45000000</v>
      </c>
      <c r="C13" s="11">
        <v>-32236810.958747983</v>
      </c>
      <c r="D13" s="12">
        <f t="shared" si="5"/>
        <v>-13.427573068862273</v>
      </c>
    </row>
    <row r="14" spans="1:4" ht="14.25" customHeight="1" x14ac:dyDescent="0.35">
      <c r="A14" s="10">
        <v>-20</v>
      </c>
      <c r="B14" s="10">
        <f t="shared" si="6"/>
        <v>40000000</v>
      </c>
      <c r="C14" s="11">
        <v>-27236810.958747968</v>
      </c>
      <c r="D14" s="12">
        <f t="shared" si="5"/>
        <v>-26.855146137724589</v>
      </c>
    </row>
    <row r="15" spans="1:4" ht="14.25" customHeight="1" x14ac:dyDescent="0.35">
      <c r="A15" s="11"/>
      <c r="B15" s="11"/>
      <c r="C15" s="11"/>
      <c r="D15" s="11"/>
    </row>
    <row r="16" spans="1:4" ht="14.25" customHeight="1" x14ac:dyDescent="0.35">
      <c r="A16" s="10" t="s">
        <v>40</v>
      </c>
      <c r="B16" s="4" t="s">
        <v>39</v>
      </c>
      <c r="C16" s="4" t="s">
        <v>34</v>
      </c>
      <c r="D16" s="10" t="s">
        <v>37</v>
      </c>
    </row>
    <row r="17" spans="1:4" ht="14.25" customHeight="1" x14ac:dyDescent="0.35">
      <c r="A17" s="10">
        <v>20</v>
      </c>
      <c r="B17" s="10">
        <f t="shared" ref="B17:B18" si="7">$B$19+(A17*$B$19/100)</f>
        <v>24000000</v>
      </c>
      <c r="C17" s="11">
        <v>-41236810.958747983</v>
      </c>
      <c r="D17" s="12">
        <f t="shared" ref="D17:D21" si="8">((C17-$C$19)/$C$19)*100</f>
        <v>10.742058455089818</v>
      </c>
    </row>
    <row r="18" spans="1:4" ht="14.25" customHeight="1" x14ac:dyDescent="0.35">
      <c r="A18" s="10">
        <v>10</v>
      </c>
      <c r="B18" s="10">
        <f t="shared" si="7"/>
        <v>22000000</v>
      </c>
      <c r="C18" s="11">
        <v>-39236810.958747983</v>
      </c>
      <c r="D18" s="12">
        <f t="shared" si="8"/>
        <v>5.3710292275449092</v>
      </c>
    </row>
    <row r="19" spans="1:4" ht="14.25" customHeight="1" x14ac:dyDescent="0.35">
      <c r="A19" s="12">
        <v>0</v>
      </c>
      <c r="B19" s="12">
        <v>20000000</v>
      </c>
      <c r="C19" s="12">
        <v>-37236810.958747983</v>
      </c>
      <c r="D19" s="12">
        <f t="shared" si="8"/>
        <v>0</v>
      </c>
    </row>
    <row r="20" spans="1:4" ht="14.25" customHeight="1" x14ac:dyDescent="0.35">
      <c r="A20" s="10">
        <v>-10</v>
      </c>
      <c r="B20" s="10">
        <f t="shared" ref="B20:B21" si="9">$B$19+(A20*$B$19/100)</f>
        <v>18000000</v>
      </c>
      <c r="C20" s="11">
        <v>-35236810.958747983</v>
      </c>
      <c r="D20" s="12">
        <f t="shared" si="8"/>
        <v>-5.3710292275449092</v>
      </c>
    </row>
    <row r="21" spans="1:4" ht="14.25" customHeight="1" x14ac:dyDescent="0.35">
      <c r="A21" s="10">
        <v>-20</v>
      </c>
      <c r="B21" s="10">
        <f t="shared" si="9"/>
        <v>16000000</v>
      </c>
      <c r="C21" s="11">
        <v>-33236810.958747983</v>
      </c>
      <c r="D21" s="12">
        <f t="shared" si="8"/>
        <v>-10.742058455089818</v>
      </c>
    </row>
    <row r="22" spans="1:4" ht="14.25" customHeight="1" x14ac:dyDescent="0.35"/>
    <row r="23" spans="1:4" ht="14.25" customHeight="1" x14ac:dyDescent="0.35"/>
    <row r="24" spans="1:4" ht="14.25" customHeight="1" x14ac:dyDescent="0.35"/>
    <row r="25" spans="1:4" ht="14.25" customHeight="1" x14ac:dyDescent="0.35"/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Analysis</vt:lpstr>
      <vt:lpstr>NPV Calculation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 Saurav</cp:lastModifiedBy>
  <dcterms:created xsi:type="dcterms:W3CDTF">2024-09-27T03:25:21Z</dcterms:created>
  <dcterms:modified xsi:type="dcterms:W3CDTF">2026-01-07T05:45:17Z</dcterms:modified>
</cp:coreProperties>
</file>